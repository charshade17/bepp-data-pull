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phila.sharepoint.com/sites/energyoffice/Shared Documents/Building Energy Programs/BEPP/Data Pull/"/>
    </mc:Choice>
  </mc:AlternateContent>
  <xr:revisionPtr revIDLastSave="350" documentId="8_{C5B24C3B-4834-43BB-9B15-C3608648BD8A}" xr6:coauthVersionLast="47" xr6:coauthVersionMax="47" xr10:uidLastSave="{7E095D54-8E3F-4BF0-B678-51F360E58864}"/>
  <bookViews>
    <workbookView xWindow="-110" yWindow="-110" windowWidth="19420" windowHeight="10300" xr2:uid="{EF30A9E6-B3A0-4392-BA27-0DB786EAD09D}"/>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J2" i="1" l="1"/>
  <c r="FI2" i="1"/>
  <c r="FH2" i="1"/>
  <c r="FG2" i="1"/>
  <c r="FF2" i="1"/>
  <c r="FE2" i="1"/>
  <c r="FD2" i="1"/>
  <c r="FC2" i="1"/>
  <c r="FB2" i="1"/>
  <c r="FA2" i="1"/>
  <c r="EZ2" i="1"/>
  <c r="EY2" i="1"/>
  <c r="EX2" i="1"/>
  <c r="EW2" i="1"/>
  <c r="EV2" i="1"/>
  <c r="EU2" i="1"/>
  <c r="ET2" i="1"/>
  <c r="ES2" i="1"/>
  <c r="ER2" i="1"/>
  <c r="EQ2" i="1"/>
  <c r="EP2" i="1"/>
  <c r="EO2" i="1"/>
  <c r="EN2" i="1"/>
  <c r="EM2" i="1"/>
  <c r="EL2" i="1"/>
  <c r="EK2" i="1"/>
  <c r="EJ2" i="1"/>
  <c r="EI2" i="1"/>
  <c r="EH2" i="1"/>
  <c r="EG2" i="1"/>
  <c r="EF2" i="1"/>
  <c r="EE2" i="1"/>
  <c r="ED2" i="1"/>
  <c r="EC2" i="1"/>
  <c r="EB2" i="1"/>
  <c r="EA2" i="1"/>
  <c r="DZ2" i="1"/>
  <c r="DY2" i="1"/>
  <c r="DX2" i="1"/>
  <c r="DW2" i="1"/>
  <c r="DV2" i="1"/>
  <c r="DU2" i="1"/>
  <c r="DT2" i="1"/>
  <c r="DS2" i="1"/>
  <c r="DR2" i="1"/>
  <c r="DQ2" i="1"/>
  <c r="DP2" i="1"/>
  <c r="DO2" i="1"/>
  <c r="DN2" i="1"/>
  <c r="DM2" i="1"/>
  <c r="DL2" i="1"/>
  <c r="DK2" i="1"/>
  <c r="DJ2" i="1"/>
  <c r="DI2" i="1"/>
  <c r="DH2" i="1"/>
  <c r="DG2" i="1"/>
  <c r="DF2" i="1"/>
  <c r="DE2" i="1"/>
  <c r="DD2" i="1"/>
  <c r="DC2" i="1"/>
  <c r="DB2" i="1"/>
  <c r="DA2" i="1"/>
  <c r="CZ2" i="1"/>
  <c r="CY2" i="1"/>
  <c r="CX2" i="1"/>
  <c r="CW2" i="1"/>
  <c r="CV2" i="1"/>
  <c r="CU2" i="1"/>
  <c r="CT2" i="1"/>
  <c r="CS2" i="1"/>
  <c r="CR2" i="1"/>
  <c r="CQ2" i="1"/>
  <c r="CP2" i="1"/>
  <c r="CO2" i="1"/>
  <c r="CN2" i="1"/>
  <c r="CM2" i="1"/>
  <c r="CL2" i="1"/>
  <c r="CK2" i="1"/>
  <c r="CJ2" i="1"/>
  <c r="CI2" i="1"/>
  <c r="CH2" i="1"/>
  <c r="CG2" i="1"/>
  <c r="CF2" i="1"/>
  <c r="CE2" i="1"/>
  <c r="CD2" i="1"/>
  <c r="CC2" i="1"/>
  <c r="CB2" i="1"/>
  <c r="CA2" i="1"/>
  <c r="BZ2" i="1"/>
  <c r="BY2" i="1"/>
  <c r="BX2" i="1"/>
  <c r="BW2" i="1"/>
  <c r="BV2" i="1"/>
  <c r="BU2" i="1"/>
  <c r="BS2" i="1"/>
  <c r="BR2" i="1"/>
  <c r="BP2" i="1"/>
  <c r="BO2" i="1"/>
  <c r="BN2" i="1"/>
  <c r="BM2" i="1"/>
  <c r="BL2" i="1"/>
  <c r="BK2" i="1"/>
  <c r="BJ2" i="1"/>
  <c r="BI2" i="1"/>
  <c r="BH2" i="1"/>
  <c r="BG2" i="1"/>
  <c r="BF2" i="1"/>
  <c r="BE2" i="1"/>
  <c r="BD2" i="1"/>
  <c r="BC2" i="1"/>
  <c r="BB2" i="1"/>
  <c r="BA2" i="1"/>
  <c r="AZ2" i="1"/>
  <c r="AY2" i="1"/>
  <c r="AX2" i="1"/>
  <c r="AW2" i="1"/>
  <c r="AV2" i="1"/>
  <c r="AU2" i="1"/>
  <c r="AQ2" i="1"/>
  <c r="AS2" i="1"/>
  <c r="AR2" i="1"/>
  <c r="AP2" i="1"/>
  <c r="AT2" i="1"/>
  <c r="AO2" i="1"/>
  <c r="AN2" i="1"/>
  <c r="AM2" i="1"/>
  <c r="AL2" i="1"/>
  <c r="AK2" i="1"/>
  <c r="AJ2" i="1"/>
  <c r="AI2" i="1"/>
  <c r="AH2" i="1"/>
  <c r="AG2" i="1"/>
  <c r="AF2" i="1"/>
  <c r="AE2" i="1"/>
  <c r="AD2" i="1"/>
  <c r="AC2" i="1"/>
  <c r="AB2" i="1"/>
  <c r="AA2" i="1"/>
  <c r="Z2" i="1"/>
  <c r="Y2" i="1"/>
  <c r="X2" i="1"/>
  <c r="W2" i="1"/>
  <c r="V2" i="1"/>
  <c r="U2" i="1"/>
  <c r="T2" i="1"/>
  <c r="S2" i="1"/>
  <c r="R2" i="1"/>
  <c r="Q2" i="1"/>
  <c r="P2" i="1"/>
  <c r="O2" i="1"/>
  <c r="N2" i="1"/>
  <c r="M2" i="1"/>
  <c r="L2" i="1"/>
  <c r="K2" i="1"/>
  <c r="J2" i="1"/>
  <c r="I2" i="1"/>
  <c r="H2" i="1"/>
  <c r="G2" i="1"/>
  <c r="F2" i="1"/>
  <c r="D2" i="1"/>
  <c r="C2" i="1"/>
  <c r="B2" i="1"/>
  <c r="A2" i="1"/>
  <c r="BT2" i="1"/>
  <c r="BQ2" i="1"/>
  <c r="E2" i="1"/>
</calcChain>
</file>

<file path=xl/sharedStrings.xml><?xml version="1.0" encoding="utf-8"?>
<sst xmlns="http://schemas.openxmlformats.org/spreadsheetml/2006/main" count="166" uniqueCount="166">
  <si>
    <t>OPA</t>
  </si>
  <si>
    <t>building_name</t>
  </si>
  <si>
    <t>address</t>
  </si>
  <si>
    <t>portfolio_manager_id</t>
  </si>
  <si>
    <t>primary_property_type</t>
  </si>
  <si>
    <t>other_prop_type</t>
  </si>
  <si>
    <t>shared_meters_espm_id</t>
  </si>
  <si>
    <t>year_built</t>
  </si>
  <si>
    <t>indoor_fl_area_net</t>
  </si>
  <si>
    <t>indoor_fl_area_gross</t>
  </si>
  <si>
    <t>parking_area</t>
  </si>
  <si>
    <t>numb_floors</t>
  </si>
  <si>
    <t>numb_basement</t>
  </si>
  <si>
    <t>occupancy_percent</t>
  </si>
  <si>
    <t>numb_ev_charger_ports</t>
  </si>
  <si>
    <t>owner_name</t>
  </si>
  <si>
    <t>owner_organization</t>
  </si>
  <si>
    <t>owner_title</t>
  </si>
  <si>
    <t>owner_mail_addr</t>
  </si>
  <si>
    <t>owner_city</t>
  </si>
  <si>
    <t>owner_state</t>
  </si>
  <si>
    <t>owner_zip</t>
  </si>
  <si>
    <t>owner_email</t>
  </si>
  <si>
    <t>owner_phone</t>
  </si>
  <si>
    <t>contact_name</t>
  </si>
  <si>
    <t>contact_organization</t>
  </si>
  <si>
    <t>contact_title</t>
  </si>
  <si>
    <t>contact_mail_addr</t>
  </si>
  <si>
    <t>contact_city</t>
  </si>
  <si>
    <t>contact_state</t>
  </si>
  <si>
    <t>contact_zip</t>
  </si>
  <si>
    <t>contact_email</t>
  </si>
  <si>
    <t>contact_phone</t>
  </si>
  <si>
    <t>Electric</t>
  </si>
  <si>
    <t>Gas</t>
  </si>
  <si>
    <t>Steam</t>
  </si>
  <si>
    <t>Fuel Oil</t>
  </si>
  <si>
    <t>On-site solar PV</t>
  </si>
  <si>
    <t>Other_energy</t>
  </si>
  <si>
    <t>solar_kw</t>
  </si>
  <si>
    <t>space_use1</t>
  </si>
  <si>
    <t>space_use2</t>
  </si>
  <si>
    <t>space_use3</t>
  </si>
  <si>
    <t>space_use4</t>
  </si>
  <si>
    <t>space_use5</t>
  </si>
  <si>
    <t>space_area1</t>
  </si>
  <si>
    <t>space_area2</t>
  </si>
  <si>
    <t>space_area3</t>
  </si>
  <si>
    <t>space_area4</t>
  </si>
  <si>
    <t>space_area5</t>
  </si>
  <si>
    <t>Heating Setpoint</t>
  </si>
  <si>
    <t>Heating Setback</t>
  </si>
  <si>
    <t>Cooling Setpoint</t>
  </si>
  <si>
    <t>Cooling Setback</t>
  </si>
  <si>
    <t>hours_per_week</t>
  </si>
  <si>
    <t>weeks_per_year</t>
  </si>
  <si>
    <t>BAS_yn</t>
  </si>
  <si>
    <t>bas_type</t>
  </si>
  <si>
    <t>bas_brand</t>
  </si>
  <si>
    <t>bas_version</t>
  </si>
  <si>
    <t>bas_comments</t>
  </si>
  <si>
    <t>tenant_pay_energy_use</t>
  </si>
  <si>
    <t>water_metered</t>
  </si>
  <si>
    <t>ee_opp</t>
  </si>
  <si>
    <t>building_notes</t>
  </si>
  <si>
    <t>space_served1</t>
  </si>
  <si>
    <t>occ_schedule1</t>
  </si>
  <si>
    <t>heating_type</t>
  </si>
  <si>
    <t>heating_size</t>
  </si>
  <si>
    <t>heating_pieces_equip</t>
  </si>
  <si>
    <t>heating_age</t>
  </si>
  <si>
    <t>heating_eff_rate</t>
  </si>
  <si>
    <t>heating_condition</t>
  </si>
  <si>
    <t>heating_notes</t>
  </si>
  <si>
    <t>cooling_type</t>
  </si>
  <si>
    <t>cooling_size</t>
  </si>
  <si>
    <t>cooling_pieces_equip</t>
  </si>
  <si>
    <t>cooling_age</t>
  </si>
  <si>
    <t>cooling_eff_rate</t>
  </si>
  <si>
    <t>cooling_condition</t>
  </si>
  <si>
    <t>cooling_notes</t>
  </si>
  <si>
    <t>cooling_refrig_type</t>
  </si>
  <si>
    <t>ventilation_type</t>
  </si>
  <si>
    <t>ventilation_size</t>
  </si>
  <si>
    <t>ventilation_pieces_equip</t>
  </si>
  <si>
    <t>ventilation_age</t>
  </si>
  <si>
    <t>ventilation_condition</t>
  </si>
  <si>
    <t>ventilation_notes</t>
  </si>
  <si>
    <t>distribution_type</t>
  </si>
  <si>
    <t>distribution_size</t>
  </si>
  <si>
    <t>distribution_pieces_equip</t>
  </si>
  <si>
    <t>distribution_age</t>
  </si>
  <si>
    <t>distribution_condition</t>
  </si>
  <si>
    <t>distribution_notes</t>
  </si>
  <si>
    <t>hot_water_type</t>
  </si>
  <si>
    <t>hot_water_size</t>
  </si>
  <si>
    <t>hot_water_pieces_equip</t>
  </si>
  <si>
    <t>hot_water_age</t>
  </si>
  <si>
    <t>hot_water_condition</t>
  </si>
  <si>
    <t>hot_water_notes</t>
  </si>
  <si>
    <t>lights</t>
  </si>
  <si>
    <t>pumps_elec_sys</t>
  </si>
  <si>
    <t>major_system_notes</t>
  </si>
  <si>
    <t>review_benchmark</t>
  </si>
  <si>
    <t>benchmark_errors</t>
  </si>
  <si>
    <t>energy_bill_start</t>
  </si>
  <si>
    <t>energy_bill_end</t>
  </si>
  <si>
    <t>energy_bill_findings</t>
  </si>
  <si>
    <t>water_bill_start</t>
  </si>
  <si>
    <t>water_bill_end</t>
  </si>
  <si>
    <t>water_bill_findings</t>
  </si>
  <si>
    <t>maintenance_start</t>
  </si>
  <si>
    <t>maintenance_end</t>
  </si>
  <si>
    <t>maintenance_findings</t>
  </si>
  <si>
    <t>scope1_em</t>
  </si>
  <si>
    <t>scope2_em</t>
  </si>
  <si>
    <t>ghg_notes</t>
  </si>
  <si>
    <t>Grilles_Coils_def</t>
  </si>
  <si>
    <t>Filters_def</t>
  </si>
  <si>
    <t>Strainers_def</t>
  </si>
  <si>
    <t>Motors_Belts_def</t>
  </si>
  <si>
    <t>FiltersStrainersMotorsBelts_def</t>
  </si>
  <si>
    <t>Dampers_valves_def</t>
  </si>
  <si>
    <t>Service_Life_Major_Equip_def</t>
  </si>
  <si>
    <t>Visible_Ducts_pipes_def</t>
  </si>
  <si>
    <t>Steam_Traps_def</t>
  </si>
  <si>
    <t>occ_sch_temp_setback_def</t>
  </si>
  <si>
    <t>temp_pres_resets_def</t>
  </si>
  <si>
    <t>econ_mode_DCV_min_outside_control_def</t>
  </si>
  <si>
    <t>opt_start_stop_def</t>
  </si>
  <si>
    <t>sim_heat_cool_def</t>
  </si>
  <si>
    <t>equip_sensors_def</t>
  </si>
  <si>
    <t>maint_VFD_def</t>
  </si>
  <si>
    <t>hvac_VFD_def</t>
  </si>
  <si>
    <t>HVAC_Controls_def</t>
  </si>
  <si>
    <t>Exhaust_fans_def</t>
  </si>
  <si>
    <t>Central_Plant_Ops_def</t>
  </si>
  <si>
    <t>Air_Bal_Issues_def</t>
  </si>
  <si>
    <t>Dom_Zones_def</t>
  </si>
  <si>
    <t>Cooling_Tower_Fan_Op_def</t>
  </si>
  <si>
    <t>light_con_sch_def</t>
  </si>
  <si>
    <t>light_level_def</t>
  </si>
  <si>
    <t>ineff_light_sensor_def</t>
  </si>
  <si>
    <t>func_light_sensors_def</t>
  </si>
  <si>
    <t>Cooling_Tower_def</t>
  </si>
  <si>
    <t>Water_Features_def</t>
  </si>
  <si>
    <t>Water_flow_fixtures_def</t>
  </si>
  <si>
    <t>Dom_Hot_Water_def</t>
  </si>
  <si>
    <t>Circ_pumps_def</t>
  </si>
  <si>
    <t>Plumb_Fixt_def</t>
  </si>
  <si>
    <t>Plumb_Fixt1_def</t>
  </si>
  <si>
    <t>Cooling_Tower1_def</t>
  </si>
  <si>
    <t>Water_Usage_setpts_ctrl_def</t>
  </si>
  <si>
    <t>roof_cond_def</t>
  </si>
  <si>
    <t>insulation_def</t>
  </si>
  <si>
    <t>window_door_def</t>
  </si>
  <si>
    <t>tuneup_name</t>
  </si>
  <si>
    <t>company</t>
  </si>
  <si>
    <t>spec_title</t>
  </si>
  <si>
    <t>spec_mailing_addr</t>
  </si>
  <si>
    <t>spec_city</t>
  </si>
  <si>
    <t>spec_state</t>
  </si>
  <si>
    <t>spec_zip</t>
  </si>
  <si>
    <t>spec_email</t>
  </si>
  <si>
    <t>spec_phone</t>
  </si>
  <si>
    <t>signoff_date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</si>
</sst>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phila.sharepoint.com/sites/energyoffice/Shared%20Documents/Building%20Energy%20Programs/BEPP/Cycle%201%20Workbooks/771004500/Tune-Ups%20-%20771004500.xlsx" TargetMode="External"/><Relationship Id="rId1" Type="http://schemas.openxmlformats.org/officeDocument/2006/relationships/externalLinkPath" Target="/sites/energyoffice/Shared%20Documents/Building%20Energy%20Programs/BEPP/Cycle%201%20Workbooks/771004500/Tune-Ups%20-%207710045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troduction"/>
      <sheetName val="Contact Information"/>
      <sheetName val="Building Overview"/>
      <sheetName val="Other Major Systems &amp; Equipment"/>
      <sheetName val="Major Systems"/>
      <sheetName val="Data Review"/>
      <sheetName val="Tune-up Instructions"/>
      <sheetName val="1) Maintenance &amp; Repairs"/>
      <sheetName val="2) HVAC"/>
      <sheetName val="3) Lighting"/>
      <sheetName val="4) DHW &amp; Water"/>
      <sheetName val="5) Envelope"/>
      <sheetName val="Tune-up Summary"/>
      <sheetName val="Sign-off"/>
      <sheetName val="Dropdowns (hidden)"/>
      <sheetName val="Dropdowns - HP (hidden) (2)"/>
    </sheetNames>
    <sheetDataSet>
      <sheetData sheetId="0"/>
      <sheetData sheetId="1">
        <row r="8">
          <cell r="C8" t="str">
            <v xml:space="preserve">Navil </v>
          </cell>
          <cell r="E8" t="str">
            <v>Christian</v>
          </cell>
        </row>
        <row r="11">
          <cell r="C11" t="str">
            <v>Drexel University</v>
          </cell>
          <cell r="E11" t="str">
            <v>Mechanical Project Engineer</v>
          </cell>
        </row>
        <row r="14">
          <cell r="C14" t="str">
            <v>225 North 32nd Street</v>
          </cell>
        </row>
        <row r="17">
          <cell r="C17" t="str">
            <v>Philadelphia</v>
          </cell>
          <cell r="E17" t="str">
            <v>PA</v>
          </cell>
          <cell r="G17">
            <v>19104</v>
          </cell>
        </row>
        <row r="20">
          <cell r="C20" t="str">
            <v>nlc32@drexel.edu</v>
          </cell>
          <cell r="E20" t="str">
            <v>215-895-1966</v>
          </cell>
        </row>
        <row r="26">
          <cell r="D26" t="str">
            <v>Yes</v>
          </cell>
        </row>
        <row r="29">
          <cell r="C29"/>
          <cell r="E29"/>
        </row>
        <row r="32">
          <cell r="C32"/>
          <cell r="E32"/>
        </row>
        <row r="35">
          <cell r="C35"/>
        </row>
        <row r="38">
          <cell r="C38"/>
          <cell r="E38"/>
          <cell r="G38"/>
        </row>
        <row r="41">
          <cell r="C41"/>
          <cell r="E41"/>
        </row>
      </sheetData>
      <sheetData sheetId="2">
        <row r="8">
          <cell r="C8" t="str">
            <v>Drexel Medical Center at the Arnold T. Berman, MD Building</v>
          </cell>
        </row>
        <row r="11">
          <cell r="C11" t="str">
            <v>219 North Broad Street</v>
          </cell>
        </row>
        <row r="14">
          <cell r="C14">
            <v>771004500</v>
          </cell>
          <cell r="E14">
            <v>3885158</v>
          </cell>
        </row>
        <row r="17">
          <cell r="C17" t="str">
            <v>Medical Office</v>
          </cell>
          <cell r="E17" t="str">
            <v>N/A</v>
          </cell>
        </row>
        <row r="20">
          <cell r="C20" t="str">
            <v>N/A</v>
          </cell>
          <cell r="E20" t="str">
            <v>N/A</v>
          </cell>
        </row>
        <row r="26">
          <cell r="E26">
            <v>79740</v>
          </cell>
        </row>
        <row r="29">
          <cell r="C29">
            <v>79740</v>
          </cell>
          <cell r="E29" t="str">
            <v>N/A</v>
          </cell>
        </row>
        <row r="33">
          <cell r="C33">
            <v>10</v>
          </cell>
          <cell r="E33">
            <v>1</v>
          </cell>
        </row>
        <row r="36">
          <cell r="C36" t="str">
            <v>81-90</v>
          </cell>
          <cell r="E36">
            <v>0</v>
          </cell>
        </row>
        <row r="41">
          <cell r="D41" t="str">
            <v>Yes</v>
          </cell>
        </row>
        <row r="42">
          <cell r="D42" t="str">
            <v>Yes</v>
          </cell>
        </row>
        <row r="43">
          <cell r="D43" t="str">
            <v>No</v>
          </cell>
        </row>
        <row r="44">
          <cell r="D44" t="str">
            <v>No</v>
          </cell>
        </row>
        <row r="45">
          <cell r="D45" t="str">
            <v>No</v>
          </cell>
          <cell r="F45">
            <v>5337</v>
          </cell>
        </row>
        <row r="46">
          <cell r="D46" t="str">
            <v>N/A</v>
          </cell>
        </row>
        <row r="51">
          <cell r="C51" t="str">
            <v>Medical Office</v>
          </cell>
          <cell r="E51">
            <v>9086</v>
          </cell>
        </row>
        <row r="52">
          <cell r="C52"/>
          <cell r="E52"/>
        </row>
        <row r="53">
          <cell r="C53"/>
          <cell r="E53"/>
        </row>
        <row r="54">
          <cell r="C54"/>
          <cell r="E54"/>
        </row>
        <row r="55">
          <cell r="C55"/>
          <cell r="E55"/>
        </row>
        <row r="59">
          <cell r="D59">
            <v>70</v>
          </cell>
        </row>
        <row r="60">
          <cell r="D60">
            <v>65</v>
          </cell>
          <cell r="F60">
            <v>60</v>
          </cell>
        </row>
        <row r="61">
          <cell r="D61">
            <v>74</v>
          </cell>
          <cell r="F61">
            <v>52</v>
          </cell>
        </row>
        <row r="62">
          <cell r="D62">
            <v>80</v>
          </cell>
        </row>
        <row r="70">
          <cell r="C70" t="str">
            <v>Yes</v>
          </cell>
          <cell r="E70" t="str">
            <v>Combination</v>
          </cell>
        </row>
        <row r="73">
          <cell r="C73" t="str">
            <v xml:space="preserve">Johnson Controls </v>
          </cell>
          <cell r="E73" t="str">
            <v>See Comments</v>
          </cell>
        </row>
        <row r="76">
          <cell r="C76" t="str">
            <v xml:space="preserve">The BAS is Johnson Metasys version 10.0. The boilers and cooling tower are the only equipment on Johnson Controls. </v>
          </cell>
        </row>
        <row r="85">
          <cell r="C85" t="str">
            <v>Yes, they pay for electric</v>
          </cell>
          <cell r="E85" t="str">
            <v>Tenants metered separately</v>
          </cell>
        </row>
        <row r="87">
          <cell r="F87" t="str">
            <v>No</v>
          </cell>
        </row>
        <row r="97">
          <cell r="B97" t="str">
            <v>N/A</v>
          </cell>
        </row>
      </sheetData>
      <sheetData sheetId="3"/>
      <sheetData sheetId="4">
        <row r="6">
          <cell r="C6" t="str">
            <v>Medical Offices 2-10/Lobby/Mezzanine</v>
          </cell>
        </row>
        <row r="7">
          <cell r="C7" t="str">
            <v>6:00am-7:00pm</v>
          </cell>
        </row>
        <row r="8">
          <cell r="D8" t="str">
            <v>Other</v>
          </cell>
        </row>
        <row r="9">
          <cell r="D9">
            <v>850</v>
          </cell>
        </row>
        <row r="10">
          <cell r="D10" t="str">
            <v>MBH</v>
          </cell>
        </row>
        <row r="11">
          <cell r="D11">
            <v>4</v>
          </cell>
        </row>
        <row r="12">
          <cell r="D12" t="str">
            <v>6-10</v>
          </cell>
        </row>
        <row r="13">
          <cell r="D13">
            <v>97</v>
          </cell>
        </row>
        <row r="14">
          <cell r="D14" t="str">
            <v>Other (specify in notes)</v>
          </cell>
        </row>
        <row r="15">
          <cell r="D15" t="str">
            <v>Good</v>
          </cell>
        </row>
        <row r="16">
          <cell r="D16" t="str">
            <v>Heating is achieved using a heating hot water system located in the basement using gas fired water boilers that heat the condenser water loop. This serves the water source heat pump terminal units located on the medical office levels (2-10). Estimating 13 WSHP's per floor. Thermal efficiency is 97%.</v>
          </cell>
        </row>
        <row r="17">
          <cell r="D17" t="str">
            <v>Other - please describe in Notes column</v>
          </cell>
        </row>
        <row r="18">
          <cell r="D18">
            <v>144</v>
          </cell>
        </row>
        <row r="19">
          <cell r="D19" t="str">
            <v>Tons</v>
          </cell>
        </row>
        <row r="20">
          <cell r="D20">
            <v>1</v>
          </cell>
        </row>
        <row r="21">
          <cell r="D21" t="str">
            <v>25+</v>
          </cell>
        </row>
        <row r="22">
          <cell r="D22" t="str">
            <v>R-410A</v>
          </cell>
        </row>
        <row r="23">
          <cell r="D23" t="str">
            <v>N/A</v>
          </cell>
        </row>
        <row r="24">
          <cell r="D24" t="str">
            <v>Other (specify in notes)</v>
          </cell>
        </row>
        <row r="25">
          <cell r="D25" t="str">
            <v>Fair</v>
          </cell>
        </row>
        <row r="26">
          <cell r="D26" t="str">
            <v>Cooling is achieved using a closed loop cooling tower located on the roof and condenser water pumps located in the basement. This supplies the water source heat pump terminal units located on the medical office levels (2-10). Estimating 13 WSHP's per floor. Efficiency N/A.</v>
          </cell>
        </row>
        <row r="27">
          <cell r="D27" t="str">
            <v>Other</v>
          </cell>
        </row>
        <row r="28">
          <cell r="D28"/>
        </row>
        <row r="29">
          <cell r="D29" t="str">
            <v>Varies</v>
          </cell>
        </row>
        <row r="30">
          <cell r="D30"/>
        </row>
        <row r="31">
          <cell r="D31" t="str">
            <v>11-15</v>
          </cell>
        </row>
        <row r="32">
          <cell r="D32" t="str">
            <v>Fair</v>
          </cell>
        </row>
        <row r="33">
          <cell r="D33" t="str">
            <v>Ventilation techniques vary floor to floor. Primary systems include using a fixed outside air damper,  and using an exhaust/supply fan and connecting to an exterior louver with a motor operated damper. Size and number vary floor to floor.</v>
          </cell>
        </row>
        <row r="34">
          <cell r="D34" t="str">
            <v>Other</v>
          </cell>
        </row>
        <row r="35">
          <cell r="D35">
            <v>144</v>
          </cell>
        </row>
        <row r="36">
          <cell r="D36" t="str">
            <v>Tons</v>
          </cell>
        </row>
        <row r="37">
          <cell r="D37"/>
        </row>
        <row r="38">
          <cell r="D38" t="str">
            <v>16-20</v>
          </cell>
        </row>
        <row r="39">
          <cell r="D39" t="str">
            <v>Fair</v>
          </cell>
        </row>
        <row r="40">
          <cell r="D40" t="str">
            <v xml:space="preserve">Water source heat pumps are distributed throughout the building to supply heating and cooling. The source is the rooftop cooling tower and basement heating hot water system. Estimating 13 WSHP's per floor. Air is distributed though a commination of ceiling 12x12 diffusers and linear diffusers. Return air is distributed using ceiling mounted 12x12 diffusers and transfer air ducts. </v>
          </cell>
        </row>
        <row r="41">
          <cell r="D41" t="str">
            <v>Other</v>
          </cell>
        </row>
        <row r="42">
          <cell r="D42"/>
        </row>
        <row r="43">
          <cell r="D43"/>
        </row>
        <row r="44">
          <cell r="D44"/>
        </row>
        <row r="45">
          <cell r="D45" t="str">
            <v>25+</v>
          </cell>
        </row>
        <row r="46">
          <cell r="D46" t="str">
            <v>End of life</v>
          </cell>
        </row>
        <row r="47">
          <cell r="D47" t="str">
            <v xml:space="preserve">Gas Fired water heater in combination with hot water recirculation pumps and domestic water booster pumps. Domestic hot water system size not indicated in existing drawings. </v>
          </cell>
        </row>
        <row r="48">
          <cell r="C48" t="str">
            <v>Incandescent - Edison/Standard</v>
          </cell>
        </row>
        <row r="54">
          <cell r="C54" t="str">
            <v>Heating and cooling system utilize (4) pumps for the boiler feed and (2) condenser water pumps. AHU-6 uses an electric heating coil serving the 6th floor.</v>
          </cell>
        </row>
        <row r="60">
          <cell r="C60" t="str">
            <v>Boiler system, lobby, 4th and 6th floors have been renovated within the last 10 years. It is suggested that remaining floors should undergo similar renovation using water source heat pumps as terminal units for heating and cooling for comfortable zoning. Abandoned/unoccupied levels of the building include floors 2, 3, 4, 5 and 9. Age of cooling tower is unknown however aside from minor maintained issues that will be resolved, it is in adequate shape.</v>
          </cell>
        </row>
      </sheetData>
      <sheetData sheetId="5">
        <row r="9">
          <cell r="D9" t="str">
            <v>No</v>
          </cell>
        </row>
        <row r="14">
          <cell r="C14" t="str">
            <v xml:space="preserve">The following information has been updated on the Energy Star Portfolio Manager: Building Year Built, Gross Floor Area and Occupancy Percentage. </v>
          </cell>
        </row>
        <row r="30">
          <cell r="C30">
            <v>44532</v>
          </cell>
          <cell r="E30">
            <v>45261</v>
          </cell>
        </row>
        <row r="33">
          <cell r="C33" t="str">
            <v xml:space="preserve">The building contains mainly medical offices and few labs. 2021 and 2022 electricity demands were lower presumably due to the lingering effects of Covid. Electricity demands have been consistent throughout mid 2022 through 2023.  Summer electricity demands are significantly lower during June, August, July due to building's summer hours of operation. The building consumption of electricity and natural gas varied appropriately with seasonal temperature changes. Electricity and natural gas demands shall increase as abandoned floors are filled. Abandoned levels of the building are levels 2,3,4,5 and 9. Associated units for the abandoned levels are shut off for energy savings. </v>
          </cell>
        </row>
        <row r="49">
          <cell r="C49">
            <v>44532</v>
          </cell>
          <cell r="E49">
            <v>45261</v>
          </cell>
        </row>
        <row r="52">
          <cell r="C52" t="str">
            <v xml:space="preserve">The building contains mainly medical offices and few labs. 2021 and 2022 water demands were lower presumably due to the lingering effects of Covid. Water demands have been consistent throughout mid 2022 through 2023. Water demands are significantly lower during June, August, July due to building's summer hours of operation. The building consumption of water varied appropriately with seasonal temperature changes. Water demands shall increase as abandoned floors are filled. Abandoned levels of the building are levels 2,3,4,5 and 9. </v>
          </cell>
        </row>
        <row r="68">
          <cell r="C68" t="str">
            <v>N/A</v>
          </cell>
          <cell r="E68" t="str">
            <v>N/A</v>
          </cell>
        </row>
        <row r="71">
          <cell r="C71" t="str">
            <v xml:space="preserve">Records not available. During the summer conditions field survey, building occupants mentioned exterior rooms in the upper levels (ex. level 10) become too hot during the summer and that wall thermostats do not work properly. Recommend inspecting all air terminal units, control valves, controls and sensors. It is suggested that devices that are non-functional are to be repaired, rebalanced or replaced. </v>
          </cell>
        </row>
        <row r="86">
          <cell r="C86" t="str">
            <v>N/A</v>
          </cell>
          <cell r="E86" t="str">
            <v>N/A</v>
          </cell>
        </row>
        <row r="89">
          <cell r="C89" t="str">
            <v>N/A</v>
          </cell>
        </row>
      </sheetData>
      <sheetData sheetId="6"/>
      <sheetData sheetId="7">
        <row r="6">
          <cell r="F6" t="str">
            <v>Deficiency found; corrective action required</v>
          </cell>
        </row>
        <row r="7">
          <cell r="F7" t="str">
            <v>Deficiency found; corrective action required</v>
          </cell>
        </row>
        <row r="8">
          <cell r="F8" t="str">
            <v>No deficiency found</v>
          </cell>
        </row>
        <row r="9">
          <cell r="F9" t="str">
            <v>Deficiency found; corrective action required</v>
          </cell>
        </row>
        <row r="10">
          <cell r="F10" t="str">
            <v>Deficiency found; corrective action voluntary</v>
          </cell>
        </row>
        <row r="11">
          <cell r="F11" t="str">
            <v>Deficiency found; corrective action required</v>
          </cell>
        </row>
        <row r="12">
          <cell r="F12" t="str">
            <v>Deficiency found; corrective action required</v>
          </cell>
        </row>
        <row r="13">
          <cell r="F13" t="str">
            <v>Deficiency found; corrective action voluntary</v>
          </cell>
        </row>
        <row r="14">
          <cell r="F14" t="str">
            <v>Deficiency found; corrective action voluntary</v>
          </cell>
        </row>
        <row r="15">
          <cell r="F15" t="str">
            <v>No deficiency found</v>
          </cell>
        </row>
      </sheetData>
      <sheetData sheetId="8">
        <row r="6">
          <cell r="F6" t="str">
            <v>Deficiency found; corrective action required</v>
          </cell>
        </row>
        <row r="7">
          <cell r="F7" t="str">
            <v>No deficiency found</v>
          </cell>
        </row>
        <row r="8">
          <cell r="F8" t="str">
            <v>Deficiency found; corrective action required</v>
          </cell>
        </row>
        <row r="9">
          <cell r="F9" t="str">
            <v>No deficiency found</v>
          </cell>
        </row>
        <row r="10">
          <cell r="F10" t="str">
            <v>No deficiency found</v>
          </cell>
        </row>
        <row r="11">
          <cell r="F11" t="str">
            <v>No deficiency found</v>
          </cell>
        </row>
        <row r="12">
          <cell r="F12" t="str">
            <v>Deficiency found; corrective action required</v>
          </cell>
        </row>
        <row r="13">
          <cell r="F13" t="str">
            <v>No deficiency found</v>
          </cell>
        </row>
        <row r="14">
          <cell r="F14" t="str">
            <v>No deficiency found</v>
          </cell>
        </row>
        <row r="15">
          <cell r="F15" t="str">
            <v>No deficiency found</v>
          </cell>
        </row>
        <row r="16">
          <cell r="F16" t="str">
            <v>Deficiency found; corrective action voluntary</v>
          </cell>
        </row>
        <row r="17">
          <cell r="F17" t="str">
            <v>No deficiency found</v>
          </cell>
        </row>
        <row r="18">
          <cell r="F18" t="str">
            <v>No deficiency found</v>
          </cell>
        </row>
      </sheetData>
      <sheetData sheetId="9">
        <row r="6">
          <cell r="F6" t="str">
            <v>Deficiency found; corrective action required</v>
          </cell>
        </row>
        <row r="7">
          <cell r="F7" t="str">
            <v>Deficiency found; corrective action voluntary</v>
          </cell>
        </row>
        <row r="8">
          <cell r="F8" t="str">
            <v>Deficiency found; corrective action voluntary</v>
          </cell>
        </row>
        <row r="9">
          <cell r="F9" t="str">
            <v>Deficiency found; corrective action voluntary</v>
          </cell>
        </row>
      </sheetData>
      <sheetData sheetId="10">
        <row r="6">
          <cell r="F6" t="str">
            <v>No deficiency found</v>
          </cell>
        </row>
        <row r="7">
          <cell r="F7" t="str">
            <v>No deficiency found</v>
          </cell>
        </row>
        <row r="8">
          <cell r="F8" t="str">
            <v>Deficiency found; corrective action required</v>
          </cell>
        </row>
        <row r="9">
          <cell r="F9" t="str">
            <v>No deficiency found</v>
          </cell>
        </row>
        <row r="10">
          <cell r="F10" t="str">
            <v>Deficiency found; corrective action required</v>
          </cell>
        </row>
        <row r="11">
          <cell r="F11" t="str">
            <v>N/A</v>
          </cell>
        </row>
        <row r="12">
          <cell r="F12" t="str">
            <v>Deficiency found; corrective action required</v>
          </cell>
        </row>
        <row r="13">
          <cell r="F13" t="str">
            <v>N/A</v>
          </cell>
        </row>
        <row r="14">
          <cell r="F14" t="str">
            <v>Deficiency found; corrective action voluntary</v>
          </cell>
        </row>
      </sheetData>
      <sheetData sheetId="11">
        <row r="6">
          <cell r="F6" t="str">
            <v>No deficiency found</v>
          </cell>
        </row>
        <row r="7">
          <cell r="F7" t="str">
            <v>No deficiency found</v>
          </cell>
        </row>
        <row r="8">
          <cell r="F8" t="str">
            <v>No deficiency found</v>
          </cell>
        </row>
      </sheetData>
      <sheetData sheetId="12"/>
      <sheetData sheetId="13">
        <row r="8">
          <cell r="C8" t="str">
            <v xml:space="preserve">Abdalrahman (Alex)  </v>
          </cell>
          <cell r="E8" t="str">
            <v>Alqaq</v>
          </cell>
          <cell r="F8"/>
          <cell r="G8"/>
          <cell r="H8"/>
        </row>
        <row r="11">
          <cell r="C11" t="str">
            <v>Arora Engineers</v>
          </cell>
          <cell r="E11" t="str">
            <v>Sr. Project Manager</v>
          </cell>
        </row>
        <row r="14">
          <cell r="C14" t="str">
            <v>61 Wilmington-West Chester Pike</v>
          </cell>
        </row>
        <row r="17">
          <cell r="C17" t="str">
            <v>Chadds Ford</v>
          </cell>
          <cell r="E17" t="str">
            <v>PA</v>
          </cell>
          <cell r="G17">
            <v>19317</v>
          </cell>
        </row>
        <row r="20">
          <cell r="C20" t="str">
            <v>aalqaq@aroraengineers.com</v>
          </cell>
          <cell r="E20">
            <v>4848804899</v>
          </cell>
        </row>
        <row r="32">
          <cell r="G32">
            <v>45560</v>
          </cell>
        </row>
      </sheetData>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6DBB9-E3CE-4688-B1E6-11D5350F614D}">
  <dimension ref="A1:FJ2"/>
  <sheetViews>
    <sheetView tabSelected="1" workbookViewId="0">
      <selection activeCell="FJ3" sqref="FJ3"/>
    </sheetView>
  </sheetViews>
  <sheetFormatPr defaultRowHeight="14.5" x14ac:dyDescent="0.35"/>
  <cols>
    <col min="1" max="1" width="10" bestFit="1" customWidth="1"/>
    <col min="2" max="2" width="12.54296875" bestFit="1" customWidth="1"/>
    <col min="4" max="4" width="18" bestFit="1" customWidth="1"/>
    <col min="5" max="5" width="18.90625" bestFit="1" customWidth="1"/>
    <col min="6" max="6" width="13.90625" bestFit="1" customWidth="1"/>
    <col min="7" max="7" width="20.6328125" bestFit="1" customWidth="1"/>
    <col min="9" max="9" width="15.81640625" bestFit="1" customWidth="1"/>
    <col min="11" max="11" width="11.36328125" bestFit="1" customWidth="1"/>
    <col min="106" max="107" width="9.36328125" bestFit="1" customWidth="1"/>
    <col min="109" max="110" width="9.36328125" bestFit="1" customWidth="1"/>
    <col min="165" max="165" width="11" bestFit="1" customWidth="1"/>
    <col min="166" max="166" width="9.36328125" bestFit="1" customWidth="1"/>
  </cols>
  <sheetData>
    <row r="1" spans="1:166" x14ac:dyDescent="0.35">
      <c r="A1" t="s">
        <v>0</v>
      </c>
      <c r="B1" t="s">
        <v>1</v>
      </c>
      <c r="C1" t="s">
        <v>2</v>
      </c>
      <c r="D1" t="s">
        <v>3</v>
      </c>
      <c r="E1" t="s">
        <v>15</v>
      </c>
      <c r="F1" t="s">
        <v>16</v>
      </c>
      <c r="G1" t="s">
        <v>17</v>
      </c>
      <c r="H1" t="s">
        <v>18</v>
      </c>
      <c r="I1" t="s">
        <v>19</v>
      </c>
      <c r="J1" t="s">
        <v>20</v>
      </c>
      <c r="K1" t="s">
        <v>21</v>
      </c>
      <c r="L1" t="s">
        <v>22</v>
      </c>
      <c r="M1" t="s">
        <v>23</v>
      </c>
      <c r="N1" t="s">
        <v>24</v>
      </c>
      <c r="O1" t="s">
        <v>25</v>
      </c>
      <c r="P1" t="s">
        <v>26</v>
      </c>
      <c r="Q1" t="s">
        <v>27</v>
      </c>
      <c r="R1" t="s">
        <v>28</v>
      </c>
      <c r="S1" t="s">
        <v>29</v>
      </c>
      <c r="T1" t="s">
        <v>30</v>
      </c>
      <c r="U1" t="s">
        <v>31</v>
      </c>
      <c r="V1" t="s">
        <v>32</v>
      </c>
      <c r="W1" t="s">
        <v>4</v>
      </c>
      <c r="X1" t="s">
        <v>5</v>
      </c>
      <c r="Y1" t="s">
        <v>6</v>
      </c>
      <c r="Z1" t="s">
        <v>7</v>
      </c>
      <c r="AA1" t="s">
        <v>8</v>
      </c>
      <c r="AB1" t="s">
        <v>9</v>
      </c>
      <c r="AC1" t="s">
        <v>10</v>
      </c>
      <c r="AD1" t="s">
        <v>11</v>
      </c>
      <c r="AE1" t="s">
        <v>12</v>
      </c>
      <c r="AF1" t="s">
        <v>13</v>
      </c>
      <c r="AG1" t="s">
        <v>14</v>
      </c>
      <c r="AH1" t="s">
        <v>33</v>
      </c>
      <c r="AI1" t="s">
        <v>34</v>
      </c>
      <c r="AJ1" t="s">
        <v>35</v>
      </c>
      <c r="AK1" t="s">
        <v>36</v>
      </c>
      <c r="AL1" t="s">
        <v>37</v>
      </c>
      <c r="AM1" t="s">
        <v>39</v>
      </c>
      <c r="AN1" t="s">
        <v>38</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81</v>
      </c>
      <c r="CB1" t="s">
        <v>78</v>
      </c>
      <c r="CC1" t="s">
        <v>79</v>
      </c>
      <c r="CD1" t="s">
        <v>80</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132</v>
      </c>
      <c r="DU1" t="s">
        <v>123</v>
      </c>
      <c r="DV1" t="s">
        <v>124</v>
      </c>
      <c r="DW1" t="s">
        <v>125</v>
      </c>
      <c r="DX1" t="s">
        <v>126</v>
      </c>
      <c r="DY1" t="s">
        <v>127</v>
      </c>
      <c r="DZ1" t="s">
        <v>128</v>
      </c>
      <c r="EA1" t="s">
        <v>129</v>
      </c>
      <c r="EB1" t="s">
        <v>130</v>
      </c>
      <c r="EC1" t="s">
        <v>131</v>
      </c>
      <c r="ED1" t="s">
        <v>134</v>
      </c>
      <c r="EE1" t="s">
        <v>135</v>
      </c>
      <c r="EF1" t="s">
        <v>136</v>
      </c>
      <c r="EG1" t="s">
        <v>137</v>
      </c>
      <c r="EH1" t="s">
        <v>138</v>
      </c>
      <c r="EI1" t="s">
        <v>139</v>
      </c>
      <c r="EJ1" t="s">
        <v>133</v>
      </c>
      <c r="EK1" t="s">
        <v>140</v>
      </c>
      <c r="EL1" t="s">
        <v>141</v>
      </c>
      <c r="EM1" t="s">
        <v>142</v>
      </c>
      <c r="EN1" t="s">
        <v>143</v>
      </c>
      <c r="EO1" t="s">
        <v>147</v>
      </c>
      <c r="EP1" t="s">
        <v>148</v>
      </c>
      <c r="EQ1" t="s">
        <v>149</v>
      </c>
      <c r="ER1" t="s">
        <v>150</v>
      </c>
      <c r="ES1" t="s">
        <v>144</v>
      </c>
      <c r="ET1" t="s">
        <v>151</v>
      </c>
      <c r="EU1" t="s">
        <v>152</v>
      </c>
      <c r="EV1" t="s">
        <v>145</v>
      </c>
      <c r="EW1" t="s">
        <v>146</v>
      </c>
      <c r="EX1" t="s">
        <v>153</v>
      </c>
      <c r="EY1" t="s">
        <v>154</v>
      </c>
      <c r="EZ1" t="s">
        <v>155</v>
      </c>
      <c r="FA1" t="s">
        <v>156</v>
      </c>
      <c r="FB1" t="s">
        <v>157</v>
      </c>
      <c r="FC1" t="s">
        <v>158</v>
      </c>
      <c r="FD1" t="s">
        <v>159</v>
      </c>
      <c r="FE1" t="s">
        <v>160</v>
      </c>
      <c r="FF1" t="s">
        <v>161</v>
      </c>
      <c r="FG1" t="s">
        <v>162</v>
      </c>
      <c r="FH1" t="s">
        <v>163</v>
      </c>
      <c r="FI1" t="s">
        <v>164</v>
      </c>
      <c r="FJ1" t="s">
        <v>165</v>
      </c>
    </row>
    <row r="2" spans="1:166" x14ac:dyDescent="0.35">
      <c r="A2">
        <f>'[1]Building Overview'!$C$14</f>
        <v>771004500</v>
      </c>
      <c r="B2" t="str">
        <f>'[1]Building Overview'!$C$8</f>
        <v>Drexel Medical Center at the Arnold T. Berman, MD Building</v>
      </c>
      <c r="C2" t="str">
        <f>'[1]Building Overview'!$C$11</f>
        <v>219 North Broad Street</v>
      </c>
      <c r="D2">
        <f>'[1]Building Overview'!$E$14</f>
        <v>3885158</v>
      </c>
      <c r="E2" t="str">
        <f>_xlfn.CONCAT('[1]Contact Information'!$C$8, " ", '[1]Contact Information'!$E$8)</f>
        <v>Navil  Christian</v>
      </c>
      <c r="F2" t="str">
        <f>'[1]Contact Information'!$C$11</f>
        <v>Drexel University</v>
      </c>
      <c r="G2" t="str">
        <f>'[1]Contact Information'!$E$11</f>
        <v>Mechanical Project Engineer</v>
      </c>
      <c r="H2" t="str">
        <f>'[1]Contact Information'!$C$14</f>
        <v>225 North 32nd Street</v>
      </c>
      <c r="I2" t="str">
        <f>'[1]Contact Information'!$C$17</f>
        <v>Philadelphia</v>
      </c>
      <c r="J2" t="str">
        <f>'[1]Contact Information'!$E$17</f>
        <v>PA</v>
      </c>
      <c r="K2">
        <f>'[1]Contact Information'!$G$17</f>
        <v>19104</v>
      </c>
      <c r="L2" t="str">
        <f>'[1]Contact Information'!$C$20</f>
        <v>nlc32@drexel.edu</v>
      </c>
      <c r="M2" t="str">
        <f>'[1]Contact Information'!$E$20</f>
        <v>215-895-1966</v>
      </c>
      <c r="N2" t="str">
        <f>IF('[1]Contact Information'!$C$29 &lt;&gt; "", _xlfn.CONCAT('[1]Contact Information'!$C$29, " ", '[1]Contact Information'!$E$29), "")</f>
        <v/>
      </c>
      <c r="O2" t="str">
        <f>IF('[1]Contact Information'!$D$26= "No", '[1]Contact Information'!$C$32, "")</f>
        <v/>
      </c>
      <c r="P2" t="str">
        <f>IF('[1]Contact Information'!$D$26= "No", '[1]Contact Information'!$E$32, "")</f>
        <v/>
      </c>
      <c r="Q2" t="str">
        <f>IF('[1]Contact Information'!$D$26= "No", '[1]Contact Information'!$C$35, "")</f>
        <v/>
      </c>
      <c r="R2" t="str">
        <f>IF('[1]Contact Information'!$D$26= "No", '[1]Contact Information'!$C$38, "")</f>
        <v/>
      </c>
      <c r="S2" t="str">
        <f>IF('[1]Contact Information'!$D$26= "No", '[1]Contact Information'!$E$38, "")</f>
        <v/>
      </c>
      <c r="T2" t="str">
        <f>IF('[1]Contact Information'!$D$26= "No", '[1]Contact Information'!$G$38, "")</f>
        <v/>
      </c>
      <c r="U2" t="str">
        <f>IF('[1]Contact Information'!$D$26= "No", '[1]Contact Information'!$C$41, "")</f>
        <v/>
      </c>
      <c r="V2" t="str">
        <f>IF('[1]Contact Information'!$D$26= "No", '[1]Contact Information'!$E$41, "")</f>
        <v/>
      </c>
      <c r="W2" t="str">
        <f>'[1]Building Overview'!$C$17</f>
        <v>Medical Office</v>
      </c>
      <c r="X2" t="str">
        <f>'[1]Building Overview'!$E$17</f>
        <v>N/A</v>
      </c>
      <c r="Y2" t="str">
        <f>'[1]Building Overview'!$C$20</f>
        <v>N/A</v>
      </c>
      <c r="Z2" t="str">
        <f>'[1]Building Overview'!$E$20</f>
        <v>N/A</v>
      </c>
      <c r="AA2">
        <f>'[1]Building Overview'!$E$26</f>
        <v>79740</v>
      </c>
      <c r="AB2">
        <f>'[1]Building Overview'!$C$29</f>
        <v>79740</v>
      </c>
      <c r="AC2">
        <f>IF('[1]Building Overview'!$E$29= "N/A", 0, '[1]Building Overview'!$E$29)</f>
        <v>0</v>
      </c>
      <c r="AD2">
        <f>'[1]Building Overview'!$C$33</f>
        <v>10</v>
      </c>
      <c r="AE2">
        <f>'[1]Building Overview'!$E$33</f>
        <v>1</v>
      </c>
      <c r="AF2" t="str">
        <f>'[1]Building Overview'!$C$36</f>
        <v>81-90</v>
      </c>
      <c r="AG2">
        <f>'[1]Building Overview'!$E$36</f>
        <v>0</v>
      </c>
      <c r="AH2" t="str">
        <f>'[1]Building Overview'!$D41</f>
        <v>Yes</v>
      </c>
      <c r="AI2" t="str">
        <f>'[1]Building Overview'!$D42</f>
        <v>Yes</v>
      </c>
      <c r="AJ2" t="str">
        <f>'[1]Building Overview'!$D43</f>
        <v>No</v>
      </c>
      <c r="AK2" t="str">
        <f>'[1]Building Overview'!$D44</f>
        <v>No</v>
      </c>
      <c r="AL2" t="str">
        <f>'[1]Building Overview'!$D45</f>
        <v>No</v>
      </c>
      <c r="AM2">
        <f>IF('[1]Building Overview'!$D$45= "Yes", '[1]Building Overview'!$F$45, 0)</f>
        <v>0</v>
      </c>
      <c r="AN2" t="str">
        <f>'[1]Building Overview'!$D$46</f>
        <v>N/A</v>
      </c>
      <c r="AO2" t="str">
        <f>'[1]Building Overview'!$C51</f>
        <v>Medical Office</v>
      </c>
      <c r="AP2" t="str">
        <f>IF(ISBLANK('[1]Building Overview'!$C52),"",'[1]Building Overview'!$C52)</f>
        <v/>
      </c>
      <c r="AQ2" t="str">
        <f>IF(ISBLANK('[1]Building Overview'!$C53),"",'[1]Building Overview'!$C53)</f>
        <v/>
      </c>
      <c r="AR2" t="str">
        <f>IF(ISBLANK('[1]Building Overview'!$C54),"",'[1]Building Overview'!$C54)</f>
        <v/>
      </c>
      <c r="AS2" t="str">
        <f>IF(ISBLANK('[1]Building Overview'!$C55),"",'[1]Building Overview'!$C55)</f>
        <v/>
      </c>
      <c r="AT2">
        <f>'[1]Building Overview'!$E51</f>
        <v>9086</v>
      </c>
      <c r="AU2" t="str">
        <f>IF(ISBLANK('[1]Building Overview'!$C52),"",'[1]Building Overview'!$E52)</f>
        <v/>
      </c>
      <c r="AV2" t="str">
        <f>IF(ISBLANK('[1]Building Overview'!$C53),"",'[1]Building Overview'!$E53)</f>
        <v/>
      </c>
      <c r="AW2" t="str">
        <f>IF(ISBLANK('[1]Building Overview'!$C54),"",'[1]Building Overview'!$E54)</f>
        <v/>
      </c>
      <c r="AX2" t="str">
        <f>IF(ISBLANK('[1]Building Overview'!$C55),"",'[1]Building Overview'!$E55)</f>
        <v/>
      </c>
      <c r="AY2">
        <f>'[1]Building Overview'!$D59</f>
        <v>70</v>
      </c>
      <c r="AZ2">
        <f>'[1]Building Overview'!$D60</f>
        <v>65</v>
      </c>
      <c r="BA2">
        <f>'[1]Building Overview'!$D61</f>
        <v>74</v>
      </c>
      <c r="BB2">
        <f>'[1]Building Overview'!$D62</f>
        <v>80</v>
      </c>
      <c r="BC2">
        <f>'[1]Building Overview'!$F$60</f>
        <v>60</v>
      </c>
      <c r="BD2">
        <f>'[1]Building Overview'!$F$61</f>
        <v>52</v>
      </c>
      <c r="BE2" t="str">
        <f>'[1]Building Overview'!$C$70</f>
        <v>Yes</v>
      </c>
      <c r="BF2" t="str">
        <f>'[1]Building Overview'!$E$70</f>
        <v>Combination</v>
      </c>
      <c r="BG2" t="str">
        <f>'[1]Building Overview'!$C$73</f>
        <v xml:space="preserve">Johnson Controls </v>
      </c>
      <c r="BH2" t="str">
        <f>'[1]Building Overview'!$E$73</f>
        <v>See Comments</v>
      </c>
      <c r="BI2" t="str">
        <f>'[1]Building Overview'!$C$76</f>
        <v xml:space="preserve">The BAS is Johnson Metasys version 10.0. The boilers and cooling tower are the only equipment on Johnson Controls. </v>
      </c>
      <c r="BJ2" t="str">
        <f>'[1]Building Overview'!$C$85</f>
        <v>Yes, they pay for electric</v>
      </c>
      <c r="BK2" t="str">
        <f>'[1]Building Overview'!$E$85</f>
        <v>Tenants metered separately</v>
      </c>
      <c r="BL2" t="str">
        <f>'[1]Building Overview'!$F$87</f>
        <v>No</v>
      </c>
      <c r="BM2" t="str">
        <f>'[1]Building Overview'!$B$97</f>
        <v>N/A</v>
      </c>
      <c r="BN2" t="str">
        <f>'[1]Major Systems'!$C$6</f>
        <v>Medical Offices 2-10/Lobby/Mezzanine</v>
      </c>
      <c r="BO2" t="str">
        <f>'[1]Major Systems'!$C$7</f>
        <v>6:00am-7:00pm</v>
      </c>
      <c r="BP2" t="str">
        <f>'[1]Major Systems'!$D$8</f>
        <v>Other</v>
      </c>
      <c r="BQ2" t="str">
        <f>_xlfn.CONCAT('[1]Major Systems'!$D$9, " ", '[1]Major Systems'!$D$10)</f>
        <v>850 MBH</v>
      </c>
      <c r="BR2">
        <f>'[1]Major Systems'!$D$11</f>
        <v>4</v>
      </c>
      <c r="BS2" t="str">
        <f>'[1]Major Systems'!$D$12</f>
        <v>6-10</v>
      </c>
      <c r="BT2" t="str">
        <f>_xlfn.CONCAT('[1]Major Systems'!$D$13, " ", '[1]Major Systems'!$D$14)</f>
        <v>97 Other (specify in notes)</v>
      </c>
      <c r="BU2" t="str">
        <f>'[1]Major Systems'!$D$15</f>
        <v>Good</v>
      </c>
      <c r="BV2" t="str">
        <f>'[1]Major Systems'!$D$16</f>
        <v>Heating is achieved using a heating hot water system located in the basement using gas fired water boilers that heat the condenser water loop. This serves the water source heat pump terminal units located on the medical office levels (2-10). Estimating 13 WSHP's per floor. Thermal efficiency is 97%.</v>
      </c>
      <c r="BW2" t="str">
        <f>'[1]Major Systems'!$D$17</f>
        <v>Other - please describe in Notes column</v>
      </c>
      <c r="BX2" t="str">
        <f>_xlfn.CONCAT('[1]Major Systems'!$D$18, " ", '[1]Major Systems'!$D$19)</f>
        <v>144 Tons</v>
      </c>
      <c r="BY2">
        <f>'[1]Major Systems'!$D$20</f>
        <v>1</v>
      </c>
      <c r="BZ2" t="str">
        <f>'[1]Major Systems'!$D$21</f>
        <v>25+</v>
      </c>
      <c r="CA2" t="str">
        <f>'[1]Major Systems'!$D$22</f>
        <v>R-410A</v>
      </c>
      <c r="CB2" t="str">
        <f>_xlfn.CONCAT('[1]Major Systems'!$D$23, " ", '[1]Major Systems'!$D$24)</f>
        <v>N/A Other (specify in notes)</v>
      </c>
      <c r="CC2" t="str">
        <f>'[1]Major Systems'!$D$25</f>
        <v>Fair</v>
      </c>
      <c r="CD2" t="str">
        <f>'[1]Major Systems'!$D$26</f>
        <v>Cooling is achieved using a closed loop cooling tower located on the roof and condenser water pumps located in the basement. This supplies the water source heat pump terminal units located on the medical office levels (2-10). Estimating 13 WSHP's per floor. Efficiency N/A.</v>
      </c>
      <c r="CE2" t="str">
        <f>'[1]Major Systems'!$D$27</f>
        <v>Other</v>
      </c>
      <c r="CF2" t="str">
        <f>TRIM(_xlfn.CONCAT('[1]Major Systems'!$D$28, " ", '[1]Major Systems'!$D$29))</f>
        <v>Varies</v>
      </c>
      <c r="CG2" t="str">
        <f>IF(ISBLANK('[1]Major Systems'!$D$30), "", '[1]Major Systems'!$D$30)</f>
        <v/>
      </c>
      <c r="CH2" t="str">
        <f>'[1]Major Systems'!$D31</f>
        <v>11-15</v>
      </c>
      <c r="CI2" t="str">
        <f>'[1]Major Systems'!$D32</f>
        <v>Fair</v>
      </c>
      <c r="CJ2" t="str">
        <f>'[1]Major Systems'!$D33</f>
        <v>Ventilation techniques vary floor to floor. Primary systems include using a fixed outside air damper,  and using an exhaust/supply fan and connecting to an exterior louver with a motor operated damper. Size and number vary floor to floor.</v>
      </c>
      <c r="CK2" t="str">
        <f>'[1]Major Systems'!$D$34</f>
        <v>Other</v>
      </c>
      <c r="CL2" t="str">
        <f>_xlfn.CONCAT('[1]Major Systems'!$D$35, " ", '[1]Major Systems'!$D$36)</f>
        <v>144 Tons</v>
      </c>
      <c r="CM2" t="str">
        <f>IF(ISBLANK('[1]Major Systems'!$D$37), "", '[1]Major Systems'!$D$37)</f>
        <v/>
      </c>
      <c r="CN2" t="str">
        <f>'[1]Major Systems'!$D38</f>
        <v>16-20</v>
      </c>
      <c r="CO2" t="str">
        <f>'[1]Major Systems'!$D39</f>
        <v>Fair</v>
      </c>
      <c r="CP2" t="str">
        <f>'[1]Major Systems'!$D40</f>
        <v xml:space="preserve">Water source heat pumps are distributed throughout the building to supply heating and cooling. The source is the rooftop cooling tower and basement heating hot water system. Estimating 13 WSHP's per floor. Air is distributed though a commination of ceiling 12x12 diffusers and linear diffusers. Return air is distributed using ceiling mounted 12x12 diffusers and transfer air ducts. </v>
      </c>
      <c r="CQ2" t="str">
        <f>'[1]Major Systems'!$D$41</f>
        <v>Other</v>
      </c>
      <c r="CR2" t="str">
        <f>IF(ISBLANK('[1]Major Systems'!$D$42),"",_xlfn.CONCAT('[1]Major Systems'!$D$42," ",'[1]Major Systems'!$D$43))</f>
        <v/>
      </c>
      <c r="CS2" t="str">
        <f>IF(ISBLANK('[1]Major Systems'!$D$44), "", '[1]Major Systems'!$D$44)</f>
        <v/>
      </c>
      <c r="CT2" t="str">
        <f>'[1]Major Systems'!$D$45</f>
        <v>25+</v>
      </c>
      <c r="CU2" t="str">
        <f>'[1]Major Systems'!$D$46</f>
        <v>End of life</v>
      </c>
      <c r="CV2" t="str">
        <f>'[1]Major Systems'!$D$47</f>
        <v xml:space="preserve">Gas Fired water heater in combination with hot water recirculation pumps and domestic water booster pumps. Domestic hot water system size not indicated in existing drawings. </v>
      </c>
      <c r="CW2" t="str">
        <f>'[1]Major Systems'!$C$48</f>
        <v>Incandescent - Edison/Standard</v>
      </c>
      <c r="CX2" t="str">
        <f>'[1]Major Systems'!$C$54</f>
        <v>Heating and cooling system utilize (4) pumps for the boiler feed and (2) condenser water pumps. AHU-6 uses an electric heating coil serving the 6th floor.</v>
      </c>
      <c r="CY2" t="str">
        <f>'[1]Major Systems'!$C$60</f>
        <v>Boiler system, lobby, 4th and 6th floors have been renovated within the last 10 years. It is suggested that remaining floors should undergo similar renovation using water source heat pumps as terminal units for heating and cooling for comfortable zoning. Abandoned/unoccupied levels of the building include floors 2, 3, 4, 5 and 9. Age of cooling tower is unknown however aside from minor maintained issues that will be resolved, it is in adequate shape.</v>
      </c>
      <c r="CZ2" t="str">
        <f>'[1]Data Review'!$D$9</f>
        <v>No</v>
      </c>
      <c r="DA2" t="str">
        <f>IF('[1]Data Review'!$D$9= "No", '[1]Data Review'!$C$14, "")</f>
        <v xml:space="preserve">The following information has been updated on the Energy Star Portfolio Manager: Building Year Built, Gross Floor Area and Occupancy Percentage. </v>
      </c>
      <c r="DB2" s="1">
        <f>'[1]Data Review'!$C$30</f>
        <v>44532</v>
      </c>
      <c r="DC2" s="1">
        <f>'[1]Data Review'!$E$30</f>
        <v>45261</v>
      </c>
      <c r="DD2" t="str">
        <f>'[1]Data Review'!$C$33</f>
        <v xml:space="preserve">The building contains mainly medical offices and few labs. 2021 and 2022 electricity demands were lower presumably due to the lingering effects of Covid. Electricity demands have been consistent throughout mid 2022 through 2023.  Summer electricity demands are significantly lower during June, August, July due to building's summer hours of operation. The building consumption of electricity and natural gas varied appropriately with seasonal temperature changes. Electricity and natural gas demands shall increase as abandoned floors are filled. Abandoned levels of the building are levels 2,3,4,5 and 9. Associated units for the abandoned levels are shut off for energy savings. </v>
      </c>
      <c r="DE2" s="1">
        <f>'[1]Data Review'!$C$49</f>
        <v>44532</v>
      </c>
      <c r="DF2" s="1">
        <f>'[1]Data Review'!$E$49</f>
        <v>45261</v>
      </c>
      <c r="DG2" t="str">
        <f>'[1]Data Review'!$C$52</f>
        <v xml:space="preserve">The building contains mainly medical offices and few labs. 2021 and 2022 water demands were lower presumably due to the lingering effects of Covid. Water demands have been consistent throughout mid 2022 through 2023. Water demands are significantly lower during June, August, July due to building's summer hours of operation. The building consumption of water varied appropriately with seasonal temperature changes. Water demands shall increase as abandoned floors are filled. Abandoned levels of the building are levels 2,3,4,5 and 9. </v>
      </c>
      <c r="DH2" t="str">
        <f>'[1]Data Review'!$C$68</f>
        <v>N/A</v>
      </c>
      <c r="DI2" t="str">
        <f>'[1]Data Review'!$E$68</f>
        <v>N/A</v>
      </c>
      <c r="DJ2" t="str">
        <f>'[1]Data Review'!$C$71</f>
        <v xml:space="preserve">Records not available. During the summer conditions field survey, building occupants mentioned exterior rooms in the upper levels (ex. level 10) become too hot during the summer and that wall thermostats do not work properly. Recommend inspecting all air terminal units, control valves, controls and sensors. It is suggested that devices that are non-functional are to be repaired, rebalanced or replaced. </v>
      </c>
      <c r="DK2" t="str">
        <f>'[1]Data Review'!$C$86</f>
        <v>N/A</v>
      </c>
      <c r="DL2" t="str">
        <f>'[1]Data Review'!$E$86</f>
        <v>N/A</v>
      </c>
      <c r="DM2" t="str">
        <f>'[1]Data Review'!$C$89</f>
        <v>N/A</v>
      </c>
      <c r="DN2" t="str">
        <f>'[1]1) Maintenance &amp; Repairs'!$F6</f>
        <v>Deficiency found; corrective action required</v>
      </c>
      <c r="DO2" t="str">
        <f>'[1]1) Maintenance &amp; Repairs'!$F7</f>
        <v>Deficiency found; corrective action required</v>
      </c>
      <c r="DP2" t="str">
        <f>'[1]1) Maintenance &amp; Repairs'!$F8</f>
        <v>No deficiency found</v>
      </c>
      <c r="DQ2" t="str">
        <f>'[1]1) Maintenance &amp; Repairs'!$F9</f>
        <v>Deficiency found; corrective action required</v>
      </c>
      <c r="DR2" t="str">
        <f>'[1]1) Maintenance &amp; Repairs'!$F10</f>
        <v>Deficiency found; corrective action voluntary</v>
      </c>
      <c r="DS2" t="str">
        <f>'[1]1) Maintenance &amp; Repairs'!$F11</f>
        <v>Deficiency found; corrective action required</v>
      </c>
      <c r="DT2" t="str">
        <f>'[1]1) Maintenance &amp; Repairs'!$F12</f>
        <v>Deficiency found; corrective action required</v>
      </c>
      <c r="DU2" t="str">
        <f>'[1]1) Maintenance &amp; Repairs'!$F13</f>
        <v>Deficiency found; corrective action voluntary</v>
      </c>
      <c r="DV2" t="str">
        <f>'[1]1) Maintenance &amp; Repairs'!$F14</f>
        <v>Deficiency found; corrective action voluntary</v>
      </c>
      <c r="DW2" t="str">
        <f>'[1]1) Maintenance &amp; Repairs'!$F15</f>
        <v>No deficiency found</v>
      </c>
      <c r="DX2" t="str">
        <f>'[1]2) HVAC'!$F6</f>
        <v>Deficiency found; corrective action required</v>
      </c>
      <c r="DY2" t="str">
        <f>'[1]2) HVAC'!$F7</f>
        <v>No deficiency found</v>
      </c>
      <c r="DZ2" t="str">
        <f>'[1]2) HVAC'!$F8</f>
        <v>Deficiency found; corrective action required</v>
      </c>
      <c r="EA2" t="str">
        <f>'[1]2) HVAC'!$F9</f>
        <v>No deficiency found</v>
      </c>
      <c r="EB2" t="str">
        <f>'[1]2) HVAC'!$F10</f>
        <v>No deficiency found</v>
      </c>
      <c r="EC2" t="str">
        <f>'[1]2) HVAC'!$F11</f>
        <v>No deficiency found</v>
      </c>
      <c r="ED2" t="str">
        <f>'[1]2) HVAC'!$F12</f>
        <v>Deficiency found; corrective action required</v>
      </c>
      <c r="EE2" t="str">
        <f>'[1]2) HVAC'!$F13</f>
        <v>No deficiency found</v>
      </c>
      <c r="EF2" t="str">
        <f>'[1]2) HVAC'!$F14</f>
        <v>No deficiency found</v>
      </c>
      <c r="EG2" t="str">
        <f>'[1]2) HVAC'!$F15</f>
        <v>No deficiency found</v>
      </c>
      <c r="EH2" t="str">
        <f>'[1]2) HVAC'!$F16</f>
        <v>Deficiency found; corrective action voluntary</v>
      </c>
      <c r="EI2" t="str">
        <f>'[1]2) HVAC'!$F17</f>
        <v>No deficiency found</v>
      </c>
      <c r="EJ2" t="str">
        <f>'[1]2) HVAC'!$F18</f>
        <v>No deficiency found</v>
      </c>
      <c r="EK2" t="str">
        <f>'[1]3) Lighting'!$F6</f>
        <v>Deficiency found; corrective action required</v>
      </c>
      <c r="EL2" t="str">
        <f>'[1]3) Lighting'!$F7</f>
        <v>Deficiency found; corrective action voluntary</v>
      </c>
      <c r="EM2" t="str">
        <f>'[1]3) Lighting'!$F8</f>
        <v>Deficiency found; corrective action voluntary</v>
      </c>
      <c r="EN2" t="str">
        <f>'[1]3) Lighting'!$F9</f>
        <v>Deficiency found; corrective action voluntary</v>
      </c>
      <c r="EO2" t="str">
        <f>'[1]4) DHW &amp; Water'!$F6</f>
        <v>No deficiency found</v>
      </c>
      <c r="EP2" t="str">
        <f>'[1]4) DHW &amp; Water'!$F7</f>
        <v>No deficiency found</v>
      </c>
      <c r="EQ2" t="str">
        <f>'[1]4) DHW &amp; Water'!$F8</f>
        <v>Deficiency found; corrective action required</v>
      </c>
      <c r="ER2" t="str">
        <f>'[1]4) DHW &amp; Water'!$F9</f>
        <v>No deficiency found</v>
      </c>
      <c r="ES2" t="str">
        <f>'[1]4) DHW &amp; Water'!$F10</f>
        <v>Deficiency found; corrective action required</v>
      </c>
      <c r="ET2" t="str">
        <f>'[1]4) DHW &amp; Water'!$F11</f>
        <v>N/A</v>
      </c>
      <c r="EU2" t="str">
        <f>'[1]4) DHW &amp; Water'!$F12</f>
        <v>Deficiency found; corrective action required</v>
      </c>
      <c r="EV2" t="str">
        <f>'[1]4) DHW &amp; Water'!$F13</f>
        <v>N/A</v>
      </c>
      <c r="EW2" t="str">
        <f>'[1]4) DHW &amp; Water'!$F14</f>
        <v>Deficiency found; corrective action voluntary</v>
      </c>
      <c r="EX2" t="str">
        <f>'[1]5) Envelope'!$F$6</f>
        <v>No deficiency found</v>
      </c>
      <c r="EY2" t="str">
        <f>'[1]5) Envelope'!$F$7</f>
        <v>No deficiency found</v>
      </c>
      <c r="EZ2" t="str">
        <f>'[1]5) Envelope'!$F$8</f>
        <v>No deficiency found</v>
      </c>
      <c r="FA2" t="str">
        <f>TRIM(_xlfn.CONCAT('[1]Sign-off'!$C$8, " ", '[1]Sign-off'!$E$8:$H$8))</f>
        <v>Abdalrahman (Alex) Alqaq</v>
      </c>
      <c r="FB2" t="str">
        <f>'[1]Sign-off'!$C$11</f>
        <v>Arora Engineers</v>
      </c>
      <c r="FC2" t="str">
        <f>'[1]Sign-off'!$E$11</f>
        <v>Sr. Project Manager</v>
      </c>
      <c r="FD2" t="str">
        <f>'[1]Sign-off'!$C$14</f>
        <v>61 Wilmington-West Chester Pike</v>
      </c>
      <c r="FE2" t="str">
        <f>'[1]Sign-off'!$C$17</f>
        <v>Chadds Ford</v>
      </c>
      <c r="FF2" t="str">
        <f>'[1]Sign-off'!$E$17</f>
        <v>PA</v>
      </c>
      <c r="FG2">
        <f>'[1]Sign-off'!$G$17</f>
        <v>19317</v>
      </c>
      <c r="FH2" t="str">
        <f>'[1]Sign-off'!$C$20</f>
        <v>aalqaq@aroraengineers.com</v>
      </c>
      <c r="FI2">
        <f>'[1]Sign-off'!$E$20</f>
        <v>4848804899</v>
      </c>
      <c r="FJ2" s="1">
        <f>'[1]Sign-off'!$G$32</f>
        <v>45560</v>
      </c>
    </row>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7582EC0E3B03D478F5B6D20219E27A9" ma:contentTypeVersion="17" ma:contentTypeDescription="Create a new document." ma:contentTypeScope="" ma:versionID="d431204fc150d4302ac3925e8ce65781">
  <xsd:schema xmlns:xsd="http://www.w3.org/2001/XMLSchema" xmlns:xs="http://www.w3.org/2001/XMLSchema" xmlns:p="http://schemas.microsoft.com/office/2006/metadata/properties" xmlns:ns2="c5b3db59-fab4-4b6d-b3db-66c2f4c9011f" xmlns:ns3="d9700f79-3838-4879-990f-7b61f06c1c8d" targetNamespace="http://schemas.microsoft.com/office/2006/metadata/properties" ma:root="true" ma:fieldsID="5b00252a47abc94045f441f06b3b7931" ns2:_="" ns3:_="">
    <xsd:import namespace="c5b3db59-fab4-4b6d-b3db-66c2f4c9011f"/>
    <xsd:import namespace="d9700f79-3838-4879-990f-7b61f06c1c8d"/>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Notes0"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b3db59-fab4-4b6d-b3db-66c2f4c9011f"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TaxCatchAll" ma:index="22" nillable="true" ma:displayName="Taxonomy Catch All Column" ma:hidden="true" ma:list="{4fa8456d-f5d6-40a8-bfb1-b45624ac51ca}" ma:internalName="TaxCatchAll" ma:showField="CatchAllData" ma:web="c5b3db59-fab4-4b6d-b3db-66c2f4c9011f">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9700f79-3838-4879-990f-7b61f06c1c8d"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DateTaken" ma:index="12" nillable="true" ma:displayName="MediaServiceDateTaken" ma:descriptio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Notes0" ma:index="18" nillable="true" ma:displayName="Notes" ma:internalName="Notes0">
      <xsd:simpleType>
        <xsd:restriction base="dms:Text">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9eb18d0-8512-43c1-978b-efa5dabb071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9700f79-3838-4879-990f-7b61f06c1c8d">
      <Terms xmlns="http://schemas.microsoft.com/office/infopath/2007/PartnerControls"/>
    </lcf76f155ced4ddcb4097134ff3c332f>
    <TaxCatchAll xmlns="c5b3db59-fab4-4b6d-b3db-66c2f4c9011f" xsi:nil="true"/>
    <Notes0 xmlns="d9700f79-3838-4879-990f-7b61f06c1c8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9AC8FEB-7758-4002-BF1E-DF9DA8AD5E6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5b3db59-fab4-4b6d-b3db-66c2f4c9011f"/>
    <ds:schemaRef ds:uri="d9700f79-3838-4879-990f-7b61f06c1c8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D2DACDA-6749-457E-90DF-9474C06CE36F}">
  <ds:schemaRefs>
    <ds:schemaRef ds:uri="http://schemas.microsoft.com/office/2006/metadata/properties"/>
    <ds:schemaRef ds:uri="http://schemas.microsoft.com/office/infopath/2007/PartnerControls"/>
    <ds:schemaRef ds:uri="d9700f79-3838-4879-990f-7b61f06c1c8d"/>
    <ds:schemaRef ds:uri="c5b3db59-fab4-4b6d-b3db-66c2f4c9011f"/>
  </ds:schemaRefs>
</ds:datastoreItem>
</file>

<file path=customXml/itemProps3.xml><?xml version="1.0" encoding="utf-8"?>
<ds:datastoreItem xmlns:ds="http://schemas.openxmlformats.org/officeDocument/2006/customXml" ds:itemID="{45425911-58CE-4B72-B810-14241043AC8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Charlotte Shade</dc:creator>
  <cp:lastModifiedBy>Charlotte Shade</cp:lastModifiedBy>
  <dcterms:created xsi:type="dcterms:W3CDTF">2025-11-04T19:48:24Z</dcterms:created>
  <dcterms:modified xsi:type="dcterms:W3CDTF">2025-11-06T15:44:59Z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0x01010097582EC0E3B03D478F5B6D20219E27A9</vt:lpwstr>
  </property>
</Properties>
</file>